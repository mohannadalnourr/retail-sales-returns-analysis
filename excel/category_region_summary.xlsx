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projects\Retail Sales &amp; Returns Analytics - E2E\"/>
    </mc:Choice>
  </mc:AlternateContent>
  <xr:revisionPtr revIDLastSave="0" documentId="8_{DEB6A047-63CD-4893-AC3E-A20390D6286F}" xr6:coauthVersionLast="47" xr6:coauthVersionMax="47" xr10:uidLastSave="{00000000-0000-0000-0000-000000000000}"/>
  <bookViews>
    <workbookView xWindow="-109" yWindow="-109" windowWidth="26301" windowHeight="14889" xr2:uid="{1F2524FB-3B93-47BD-9FFC-DD26A429947E}"/>
  </bookViews>
  <sheets>
    <sheet name="category_region_summary" sheetId="1" r:id="rId1"/>
    <sheet name="Pivot Table" sheetId="3" r:id="rId2"/>
    <sheet name="Notes" sheetId="4" r:id="rId3"/>
  </sheets>
  <calcPr calcId="0"/>
  <pivotCaches>
    <pivotCache cacheId="11" r:id="rId4"/>
  </pivotCaches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2" i="1"/>
</calcChain>
</file>

<file path=xl/sharedStrings.xml><?xml version="1.0" encoding="utf-8"?>
<sst xmlns="http://schemas.openxmlformats.org/spreadsheetml/2006/main" count="52" uniqueCount="20">
  <si>
    <t>category</t>
  </si>
  <si>
    <t>region</t>
  </si>
  <si>
    <t>total_sales</t>
  </si>
  <si>
    <t>total_profit</t>
  </si>
  <si>
    <t>num_orders</t>
  </si>
  <si>
    <t>Furniture</t>
  </si>
  <si>
    <t>Central</t>
  </si>
  <si>
    <t>East</t>
  </si>
  <si>
    <t>South</t>
  </si>
  <si>
    <t>West</t>
  </si>
  <si>
    <t>Office Supplies</t>
  </si>
  <si>
    <t>Technology</t>
  </si>
  <si>
    <t>Row Labels</t>
  </si>
  <si>
    <t>Grand Total</t>
  </si>
  <si>
    <t>Sum of total_profit</t>
  </si>
  <si>
    <t>profit_margin_pct</t>
  </si>
  <si>
    <r>
      <t xml:space="preserve">Imported </t>
    </r>
    <r>
      <rPr>
        <sz val="10"/>
        <color theme="1"/>
        <rFont val="Arial Unicode MS"/>
      </rPr>
      <t>category_region_summary.csv</t>
    </r>
    <r>
      <rPr>
        <sz val="11"/>
        <color theme="1"/>
        <rFont val="Arial"/>
        <family val="2"/>
        <scheme val="minor"/>
      </rPr>
      <t xml:space="preserve"> from Python, converted to Excel Table</t>
    </r>
  </si>
  <si>
    <r>
      <t xml:space="preserve">Found </t>
    </r>
    <r>
      <rPr>
        <sz val="10"/>
        <color theme="1"/>
        <rFont val="Arial Unicode MS"/>
      </rPr>
      <t>total_profit</t>
    </r>
    <r>
      <rPr>
        <sz val="11"/>
        <color theme="1"/>
        <rFont val="Arial"/>
        <family val="2"/>
        <scheme val="minor"/>
      </rPr>
      <t xml:space="preserve"> values for Furniture/East and Furniture/South were imported as text, not numbers — converted them, which fixed a PivotTable showing $0 instead of real profit</t>
    </r>
  </si>
  <si>
    <t>Built profit_margin_pct column as a live formula (profit ÷ sales × 100) — initially had columns swapped, corrected it</t>
  </si>
  <si>
    <t>Checked all 12 category/region groups for small sample sizes — smallest group has 255 orders, no reliability concerns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</si>
</sst>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&quot;$&quot;#,##0"/>
  </numFmts>
  <fonts count="19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sz val="10"/>
      <color theme="1"/>
      <name val="Arial Unicode MS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8" fontId="0" fillId="0" borderId="0" xfId="0" applyNumberFormat="1"/>
    <xf numFmtId="2" fontId="0" fillId="0" borderId="0" xfId="0" applyNumberFormat="1"/>
    <xf numFmtId="1" fontId="0" fillId="0" borderId="0" xfId="0" applyNumberFormat="1"/>
    <xf numFmtId="168" fontId="0" fillId="0" borderId="0" xfId="0" quotePrefix="1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numFmt numFmtId="2" formatCode="0.00"/>
    </dxf>
    <dxf>
      <numFmt numFmtId="1" formatCode="0"/>
    </dxf>
    <dxf>
      <numFmt numFmtId="168" formatCode="&quot;$&quot;#,##0"/>
    </dxf>
    <dxf>
      <numFmt numFmtId="168" formatCode="&quot;$&quot;#,##0"/>
    </dxf>
    <dxf>
      <numFmt numFmtId="167" formatCode="&quot;$&quot;#,##0.0"/>
    </dxf>
    <dxf>
      <numFmt numFmtId="168" formatCode="&quot;$&quot;#,##0"/>
    </dxf>
    <dxf>
      <numFmt numFmtId="167" formatCode="&quot;$&quot;#,##0.0"/>
    </dxf>
    <dxf>
      <numFmt numFmtId="166" formatCode="&quot;$&quot;#,##0.00"/>
    </dxf>
    <dxf>
      <numFmt numFmtId="166" formatCode="&quot;$&quot;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71.995603819443" createdVersion="8" refreshedVersion="8" minRefreshableVersion="3" recordCount="12" xr:uid="{EF35FA52-DA40-469A-85D6-D828DAEFA879}">
  <cacheSource type="worksheet">
    <worksheetSource name="Table1"/>
  </cacheSource>
  <cacheFields count="5">
    <cacheField name="category" numFmtId="0">
      <sharedItems count="3">
        <s v="Furniture"/>
        <s v="Office Supplies"/>
        <s v="Technology"/>
      </sharedItems>
    </cacheField>
    <cacheField name="region" numFmtId="0">
      <sharedItems count="4">
        <s v="Central"/>
        <s v="East"/>
        <s v="South"/>
        <s v="West"/>
      </sharedItems>
    </cacheField>
    <cacheField name="total_sales" numFmtId="1">
      <sharedItems containsSemiMixedTypes="0" containsString="0" containsNumber="1" minValue="117298.68" maxValue="264974.03999999998"/>
    </cacheField>
    <cacheField name="total_profit" numFmtId="1">
      <sharedItems containsSemiMixedTypes="0" containsString="0" containsNumber="1" minValue="-2871.1" maxValue="52609.89"/>
    </cacheField>
    <cacheField name="num_orders" numFmtId="1">
      <sharedItems containsSemiMixedTypes="0" containsString="0" containsNumber="1" containsInteger="1" minValue="255" maxValue="116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x v="0"/>
    <n v="163797.26"/>
    <n v="-2871.1"/>
    <n v="403"/>
  </r>
  <r>
    <x v="0"/>
    <x v="1"/>
    <n v="208291.17"/>
    <n v="3046.2"/>
    <n v="488"/>
  </r>
  <r>
    <x v="0"/>
    <x v="2"/>
    <n v="117298.68"/>
    <n v="6771.23"/>
    <n v="278"/>
  </r>
  <r>
    <x v="0"/>
    <x v="3"/>
    <n v="252612.87"/>
    <n v="11504.92"/>
    <n v="595"/>
  </r>
  <r>
    <x v="1"/>
    <x v="0"/>
    <n v="167026.32999999999"/>
    <n v="8879.9500000000007"/>
    <n v="880"/>
  </r>
  <r>
    <x v="1"/>
    <x v="1"/>
    <n v="205516.15"/>
    <n v="41014.519999999997"/>
    <n v="1074"/>
  </r>
  <r>
    <x v="1"/>
    <x v="2"/>
    <n v="125651.31"/>
    <n v="19986.52"/>
    <n v="619"/>
  </r>
  <r>
    <x v="1"/>
    <x v="3"/>
    <n v="220853.2"/>
    <n v="52609.89"/>
    <n v="1169"/>
  </r>
  <r>
    <x v="2"/>
    <x v="0"/>
    <n v="170416.29"/>
    <n v="33697.599999999999"/>
    <n v="356"/>
  </r>
  <r>
    <x v="2"/>
    <x v="1"/>
    <n v="264974.03999999998"/>
    <n v="47462.12"/>
    <n v="443"/>
  </r>
  <r>
    <x v="2"/>
    <x v="2"/>
    <n v="148771.91"/>
    <n v="19991.96"/>
    <n v="255"/>
  </r>
  <r>
    <x v="2"/>
    <x v="3"/>
    <n v="251991.86"/>
    <n v="44303.98"/>
    <n v="49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6B2A11-4E5B-42D3-8A04-D2C9372A9444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9" firstHeaderRow="1" firstDataRow="1" firstDataCol="1"/>
  <pivotFields count="5">
    <pivotField axis="axisRow" showAll="0">
      <items count="4">
        <item x="0"/>
        <item x="1"/>
        <item x="2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numFmtId="1" showAll="0"/>
    <pivotField dataField="1" numFmtId="1" showAll="0"/>
    <pivotField numFmtId="1" showAll="0"/>
  </pivotFields>
  <rowFields count="2">
    <field x="0"/>
    <field x="1"/>
  </rowFields>
  <rowItems count="16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 t="grand">
      <x/>
    </i>
  </rowItems>
  <colItems count="1">
    <i/>
  </colItems>
  <dataFields count="1">
    <dataField name="Sum of total_profit" fld="3" baseField="0" baseItem="0" numFmtId="168"/>
  </dataFields>
  <formats count="1">
    <format dxfId="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0BBE8A-7CB4-42DC-B009-282777069859}" name="Table1" displayName="Table1" ref="A1:F13" totalsRowShown="0">
  <autoFilter ref="A1:F13" xr:uid="{450BBE8A-7CB4-42DC-B009-282777069859}"/>
  <tableColumns count="6">
    <tableColumn id="1" xr3:uid="{9B29E4E4-8B93-4BED-B837-8719E25565F7}" name="category"/>
    <tableColumn id="2" xr3:uid="{45142150-F92D-4D67-A7E6-23079C202DB8}" name="region"/>
    <tableColumn id="3" xr3:uid="{9F457954-5268-427A-AB39-CD8B1C43F058}" name="total_sales" dataDxfId="3"/>
    <tableColumn id="4" xr3:uid="{28967E83-0E62-4D2B-96F6-EA677A1F64A1}" name="total_profit" dataDxfId="2"/>
    <tableColumn id="5" xr3:uid="{8B3870A9-2D14-41D9-B291-5C5990A64F4F}" name="num_orders" dataDxfId="1"/>
    <tableColumn id="6" xr3:uid="{13B31071-B125-4627-8C57-BFACEAECCDE8}" name="profit_margin_pct" dataDxfId="0">
      <calculatedColumnFormula>Table1[[#This Row],[total_profit]]/Table1[[#This Row],[total_sales]]*100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D9196-57AB-4BE6-A15C-5FFE523DDF9D}">
  <dimension ref="A1:F13"/>
  <sheetViews>
    <sheetView tabSelected="1" workbookViewId="0">
      <selection activeCell="D24" sqref="D24"/>
    </sheetView>
  </sheetViews>
  <sheetFormatPr defaultRowHeight="13.6"/>
  <cols>
    <col min="1" max="1" width="12.77734375" bestFit="1" customWidth="1"/>
    <col min="2" max="2" width="8.44140625" bestFit="1" customWidth="1"/>
    <col min="3" max="4" width="18.6640625" style="6" bestFit="1" customWidth="1"/>
    <col min="5" max="5" width="13.33203125" style="6" bestFit="1" customWidth="1"/>
    <col min="6" max="6" width="18.109375" bestFit="1" customWidth="1"/>
  </cols>
  <sheetData>
    <row r="1" spans="1:6">
      <c r="A1" t="s">
        <v>0</v>
      </c>
      <c r="B1" t="s">
        <v>1</v>
      </c>
      <c r="C1" s="6" t="s">
        <v>2</v>
      </c>
      <c r="D1" s="6" t="s">
        <v>3</v>
      </c>
      <c r="E1" s="6" t="s">
        <v>4</v>
      </c>
      <c r="F1" t="s">
        <v>15</v>
      </c>
    </row>
    <row r="2" spans="1:6">
      <c r="A2" t="s">
        <v>5</v>
      </c>
      <c r="B2" t="s">
        <v>6</v>
      </c>
      <c r="C2" s="4">
        <v>163797.26</v>
      </c>
      <c r="D2" s="4">
        <v>-2871.1</v>
      </c>
      <c r="E2" s="6">
        <v>403</v>
      </c>
      <c r="F2" s="5">
        <f>Table1[[#This Row],[total_profit]]/Table1[[#This Row],[total_sales]]*100</f>
        <v>-1.7528376237795431</v>
      </c>
    </row>
    <row r="3" spans="1:6">
      <c r="A3" t="s">
        <v>5</v>
      </c>
      <c r="B3" t="s">
        <v>7</v>
      </c>
      <c r="C3" s="4">
        <v>208291.17</v>
      </c>
      <c r="D3" s="7">
        <v>3046.2</v>
      </c>
      <c r="E3" s="6">
        <v>488</v>
      </c>
      <c r="F3" s="5">
        <f>Table1[[#This Row],[total_profit]]/Table1[[#This Row],[total_sales]]*100</f>
        <v>1.4624719809293882</v>
      </c>
    </row>
    <row r="4" spans="1:6">
      <c r="A4" t="s">
        <v>5</v>
      </c>
      <c r="B4" t="s">
        <v>8</v>
      </c>
      <c r="C4" s="7">
        <v>117298.68</v>
      </c>
      <c r="D4" s="7">
        <v>6771.23</v>
      </c>
      <c r="E4" s="6">
        <v>278</v>
      </c>
      <c r="F4" s="5">
        <f>Table1[[#This Row],[total_profit]]/Table1[[#This Row],[total_sales]]*100</f>
        <v>5.7726395557051458</v>
      </c>
    </row>
    <row r="5" spans="1:6">
      <c r="A5" t="s">
        <v>5</v>
      </c>
      <c r="B5" t="s">
        <v>9</v>
      </c>
      <c r="C5" s="4">
        <v>252612.87</v>
      </c>
      <c r="D5" s="4">
        <v>11504.92</v>
      </c>
      <c r="E5" s="6">
        <v>595</v>
      </c>
      <c r="F5" s="5">
        <f>Table1[[#This Row],[total_profit]]/Table1[[#This Row],[total_sales]]*100</f>
        <v>4.554368112756884</v>
      </c>
    </row>
    <row r="6" spans="1:6">
      <c r="A6" t="s">
        <v>10</v>
      </c>
      <c r="B6" t="s">
        <v>6</v>
      </c>
      <c r="C6" s="4">
        <v>167026.32999999999</v>
      </c>
      <c r="D6" s="4">
        <v>8879.9500000000007</v>
      </c>
      <c r="E6" s="6">
        <v>880</v>
      </c>
      <c r="F6" s="5">
        <f>Table1[[#This Row],[total_profit]]/Table1[[#This Row],[total_sales]]*100</f>
        <v>5.3164971055761097</v>
      </c>
    </row>
    <row r="7" spans="1:6">
      <c r="A7" t="s">
        <v>10</v>
      </c>
      <c r="B7" t="s">
        <v>7</v>
      </c>
      <c r="C7" s="4">
        <v>205516.15</v>
      </c>
      <c r="D7" s="4">
        <v>41014.519999999997</v>
      </c>
      <c r="E7" s="6">
        <v>1074</v>
      </c>
      <c r="F7" s="5">
        <f>Table1[[#This Row],[total_profit]]/Table1[[#This Row],[total_sales]]*100</f>
        <v>19.956835509034203</v>
      </c>
    </row>
    <row r="8" spans="1:6">
      <c r="A8" t="s">
        <v>10</v>
      </c>
      <c r="B8" t="s">
        <v>8</v>
      </c>
      <c r="C8" s="4">
        <v>125651.31</v>
      </c>
      <c r="D8" s="4">
        <v>19986.52</v>
      </c>
      <c r="E8" s="6">
        <v>619</v>
      </c>
      <c r="F8" s="5">
        <f>Table1[[#This Row],[total_profit]]/Table1[[#This Row],[total_sales]]*100</f>
        <v>15.906336352561706</v>
      </c>
    </row>
    <row r="9" spans="1:6">
      <c r="A9" t="s">
        <v>10</v>
      </c>
      <c r="B9" t="s">
        <v>9</v>
      </c>
      <c r="C9" s="4">
        <v>220853.2</v>
      </c>
      <c r="D9" s="4">
        <v>52609.89</v>
      </c>
      <c r="E9" s="6">
        <v>1169</v>
      </c>
      <c r="F9" s="5">
        <f>Table1[[#This Row],[total_profit]]/Table1[[#This Row],[total_sales]]*100</f>
        <v>23.821203405701162</v>
      </c>
    </row>
    <row r="10" spans="1:6">
      <c r="A10" t="s">
        <v>11</v>
      </c>
      <c r="B10" t="s">
        <v>6</v>
      </c>
      <c r="C10" s="4">
        <v>170416.29</v>
      </c>
      <c r="D10" s="4">
        <v>33697.599999999999</v>
      </c>
      <c r="E10" s="6">
        <v>356</v>
      </c>
      <c r="F10" s="5">
        <f>Table1[[#This Row],[total_profit]]/Table1[[#This Row],[total_sales]]*100</f>
        <v>19.773696516923351</v>
      </c>
    </row>
    <row r="11" spans="1:6">
      <c r="A11" t="s">
        <v>11</v>
      </c>
      <c r="B11" t="s">
        <v>7</v>
      </c>
      <c r="C11" s="4">
        <v>264974.03999999998</v>
      </c>
      <c r="D11" s="4">
        <v>47462.12</v>
      </c>
      <c r="E11" s="6">
        <v>443</v>
      </c>
      <c r="F11" s="5">
        <f>Table1[[#This Row],[total_profit]]/Table1[[#This Row],[total_sales]]*100</f>
        <v>17.911988661228854</v>
      </c>
    </row>
    <row r="12" spans="1:6">
      <c r="A12" t="s">
        <v>11</v>
      </c>
      <c r="B12" t="s">
        <v>8</v>
      </c>
      <c r="C12" s="4">
        <v>148771.91</v>
      </c>
      <c r="D12" s="4">
        <v>19991.96</v>
      </c>
      <c r="E12" s="6">
        <v>255</v>
      </c>
      <c r="F12" s="5">
        <f>Table1[[#This Row],[total_profit]]/Table1[[#This Row],[total_sales]]*100</f>
        <v>13.437993771808133</v>
      </c>
    </row>
    <row r="13" spans="1:6">
      <c r="A13" t="s">
        <v>11</v>
      </c>
      <c r="B13" t="s">
        <v>9</v>
      </c>
      <c r="C13" s="4">
        <v>251991.86</v>
      </c>
      <c r="D13" s="4">
        <v>44303.98</v>
      </c>
      <c r="E13" s="6">
        <v>490</v>
      </c>
      <c r="F13" s="5">
        <f>Table1[[#This Row],[total_profit]]/Table1[[#This Row],[total_sales]]*100</f>
        <v>17.581512355200683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BB182-2451-4CC1-AE5F-AA455EAFA84D}">
  <dimension ref="A3:B19"/>
  <sheetViews>
    <sheetView workbookViewId="0">
      <selection activeCell="C35" sqref="C35"/>
    </sheetView>
  </sheetViews>
  <sheetFormatPr defaultRowHeight="13.6"/>
  <cols>
    <col min="1" max="1" width="15.6640625" bestFit="1" customWidth="1"/>
    <col min="2" max="2" width="16.6640625" bestFit="1" customWidth="1"/>
  </cols>
  <sheetData>
    <row r="3" spans="1:2">
      <c r="A3" s="1" t="s">
        <v>12</v>
      </c>
      <c r="B3" t="s">
        <v>14</v>
      </c>
    </row>
    <row r="4" spans="1:2">
      <c r="A4" s="2" t="s">
        <v>5</v>
      </c>
      <c r="B4" s="4">
        <v>18451.25</v>
      </c>
    </row>
    <row r="5" spans="1:2">
      <c r="A5" s="3" t="s">
        <v>6</v>
      </c>
      <c r="B5" s="4">
        <v>-2871.1</v>
      </c>
    </row>
    <row r="6" spans="1:2">
      <c r="A6" s="3" t="s">
        <v>7</v>
      </c>
      <c r="B6" s="4">
        <v>3046.2</v>
      </c>
    </row>
    <row r="7" spans="1:2">
      <c r="A7" s="3" t="s">
        <v>8</v>
      </c>
      <c r="B7" s="4">
        <v>6771.23</v>
      </c>
    </row>
    <row r="8" spans="1:2">
      <c r="A8" s="3" t="s">
        <v>9</v>
      </c>
      <c r="B8" s="4">
        <v>11504.92</v>
      </c>
    </row>
    <row r="9" spans="1:2">
      <c r="A9" s="2" t="s">
        <v>10</v>
      </c>
      <c r="B9" s="4">
        <v>122490.88</v>
      </c>
    </row>
    <row r="10" spans="1:2">
      <c r="A10" s="3" t="s">
        <v>6</v>
      </c>
      <c r="B10" s="4">
        <v>8879.9500000000007</v>
      </c>
    </row>
    <row r="11" spans="1:2">
      <c r="A11" s="3" t="s">
        <v>7</v>
      </c>
      <c r="B11" s="4">
        <v>41014.519999999997</v>
      </c>
    </row>
    <row r="12" spans="1:2">
      <c r="A12" s="3" t="s">
        <v>8</v>
      </c>
      <c r="B12" s="4">
        <v>19986.52</v>
      </c>
    </row>
    <row r="13" spans="1:2">
      <c r="A13" s="3" t="s">
        <v>9</v>
      </c>
      <c r="B13" s="4">
        <v>52609.89</v>
      </c>
    </row>
    <row r="14" spans="1:2">
      <c r="A14" s="2" t="s">
        <v>11</v>
      </c>
      <c r="B14" s="4">
        <v>145455.66</v>
      </c>
    </row>
    <row r="15" spans="1:2">
      <c r="A15" s="3" t="s">
        <v>6</v>
      </c>
      <c r="B15" s="4">
        <v>33697.599999999999</v>
      </c>
    </row>
    <row r="16" spans="1:2">
      <c r="A16" s="3" t="s">
        <v>7</v>
      </c>
      <c r="B16" s="4">
        <v>47462.12</v>
      </c>
    </row>
    <row r="17" spans="1:2">
      <c r="A17" s="3" t="s">
        <v>8</v>
      </c>
      <c r="B17" s="4">
        <v>19991.96</v>
      </c>
    </row>
    <row r="18" spans="1:2">
      <c r="A18" s="3" t="s">
        <v>9</v>
      </c>
      <c r="B18" s="4">
        <v>44303.98</v>
      </c>
    </row>
    <row r="19" spans="1:2">
      <c r="A19" s="2" t="s">
        <v>13</v>
      </c>
      <c r="B19" s="4">
        <v>286397.78999999998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7BEF6-88C2-4E17-A644-BA5E03228120}">
  <dimension ref="A1:A4"/>
  <sheetViews>
    <sheetView workbookViewId="0">
      <selection activeCell="G7" sqref="G7"/>
    </sheetView>
  </sheetViews>
  <sheetFormatPr defaultRowHeight="13.6"/>
  <sheetData>
    <row r="1" spans="1:1">
      <c r="A1" t="s">
        <v>16</v>
      </c>
    </row>
    <row r="2" spans="1:1">
      <c r="A2" t="s">
        <v>17</v>
      </c>
    </row>
    <row r="3" spans="1:1">
      <c r="A3" t="s">
        <v>18</v>
      </c>
    </row>
    <row r="4" spans="1:1">
      <c r="A4" t="s">
        <v>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F03352B223DB446868798F8136FE8C7" ma:contentTypeVersion="5" ma:contentTypeDescription="Create a new document." ma:contentTypeScope="" ma:versionID="5812dbe9c4fc325158a1be30ffbbd340">
  <xsd:schema xmlns:xsd="http://www.w3.org/2001/XMLSchema" xmlns:xs="http://www.w3.org/2001/XMLSchema" xmlns:p="http://schemas.microsoft.com/office/2006/metadata/properties" xmlns:ns3="8a3d3754-127f-4448-85c3-6e30e15850b8" targetNamespace="http://schemas.microsoft.com/office/2006/metadata/properties" ma:root="true" ma:fieldsID="7b10409cddbfa673b49fab690aeaacdc" ns3:_="">
    <xsd:import namespace="8a3d3754-127f-4448-85c3-6e30e15850b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3d3754-127f-4448-85c3-6e30e15850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D076278-05CD-4FC5-B798-D59D3FB2FD2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3d3754-127f-4448-85c3-6e30e15850b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7B44CA8-E10C-45BB-A28C-EE6F6A3AF6A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205540A-3CC4-4AF7-914B-81CAD040AF6C}">
  <ds:schemaRefs>
    <ds:schemaRef ds:uri="http://www.w3.org/XML/1998/namespace"/>
    <ds:schemaRef ds:uri="http://purl.org/dc/dcmitype/"/>
    <ds:schemaRef ds:uri="http://purl.org/dc/elements/1.1/"/>
    <ds:schemaRef ds:uri="http://schemas.microsoft.com/office/2006/metadata/properties"/>
    <ds:schemaRef ds:uri="8a3d3754-127f-4448-85c3-6e30e15850b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category_region_summary</vt:lpstr>
      <vt:lpstr>Pivot Table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Mohannad Alnour</dc:creator>
  <cp:lastModifiedBy>MUHANNAD - -. ALNOUR</cp:lastModifiedBy>
  <dcterms:created xsi:type="dcterms:W3CDTF">2026-09-06T21:15:26Z</dcterms:created>
  <dcterms:modified xsi:type="dcterms:W3CDTF">2026-09-07T13:27:58Z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0x010100CF03352B223DB446868798F8136FE8C7</vt:lpwstr>
  </property>
</Properties>
</file>